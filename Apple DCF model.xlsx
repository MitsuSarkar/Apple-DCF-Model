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\OneDrive\Documents\"/>
    </mc:Choice>
  </mc:AlternateContent>
  <xr:revisionPtr revIDLastSave="0" documentId="8_{0497C4A1-D3C9-4531-8CB2-F6CF91AAC81E}" xr6:coauthVersionLast="47" xr6:coauthVersionMax="47" xr10:uidLastSave="{00000000-0000-0000-0000-000000000000}"/>
  <bookViews>
    <workbookView xWindow="-120" yWindow="-120" windowWidth="29040" windowHeight="15720" tabRatio="660" activeTab="6" xr2:uid="{9D2E21A2-5BFC-4AAE-8E6B-867B1EE90928}"/>
  </bookViews>
  <sheets>
    <sheet name="Assumptions" sheetId="1" r:id="rId1"/>
    <sheet name="Income statement" sheetId="2" r:id="rId2"/>
    <sheet name="Balance sheet " sheetId="3" r:id="rId3"/>
    <sheet name="Cash flow" sheetId="4" r:id="rId4"/>
    <sheet name="Supporting schedule" sheetId="5" r:id="rId5"/>
    <sheet name="DCF" sheetId="6" r:id="rId6"/>
    <sheet name="Sensitivit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6" l="1"/>
  <c r="F14" i="6"/>
  <c r="E14" i="6"/>
  <c r="D14" i="6"/>
  <c r="C14" i="6"/>
  <c r="B14" i="6"/>
  <c r="C12" i="3"/>
  <c r="D12" i="3" s="1"/>
  <c r="E12" i="3" s="1"/>
  <c r="F12" i="3" s="1"/>
  <c r="G12" i="3" s="1"/>
  <c r="D14" i="4"/>
  <c r="E14" i="4"/>
  <c r="F14" i="4"/>
  <c r="G14" i="4"/>
  <c r="C14" i="4"/>
  <c r="C5" i="2"/>
  <c r="D5" i="2" s="1"/>
  <c r="D9" i="5" s="1"/>
  <c r="C9" i="2" l="1"/>
  <c r="B5" i="6" s="1"/>
  <c r="B6" i="6" s="1"/>
  <c r="B7" i="6" s="1"/>
  <c r="D7" i="5"/>
  <c r="D11" i="4" s="1"/>
  <c r="C7" i="5"/>
  <c r="B9" i="6" s="1"/>
  <c r="C9" i="5"/>
  <c r="C10" i="5" s="1"/>
  <c r="C9" i="6"/>
  <c r="D5" i="5"/>
  <c r="C10" i="2"/>
  <c r="C11" i="2" s="1"/>
  <c r="C6" i="4" s="1"/>
  <c r="C5" i="5"/>
  <c r="D9" i="2"/>
  <c r="E5" i="2"/>
  <c r="D7" i="2"/>
  <c r="C7" i="2"/>
  <c r="C8" i="2" s="1"/>
  <c r="C11" i="4" l="1"/>
  <c r="C7" i="3"/>
  <c r="D7" i="3" s="1"/>
  <c r="E7" i="5"/>
  <c r="E9" i="5"/>
  <c r="E10" i="5" s="1"/>
  <c r="E5" i="5"/>
  <c r="D8" i="2"/>
  <c r="C8" i="4"/>
  <c r="B10" i="6"/>
  <c r="D10" i="2"/>
  <c r="D11" i="2" s="1"/>
  <c r="D6" i="4" s="1"/>
  <c r="C5" i="6"/>
  <c r="C6" i="6" s="1"/>
  <c r="C7" i="6" s="1"/>
  <c r="B8" i="6"/>
  <c r="C7" i="4"/>
  <c r="D10" i="5"/>
  <c r="C8" i="6"/>
  <c r="D7" i="4"/>
  <c r="C6" i="2"/>
  <c r="F5" i="2"/>
  <c r="E7" i="2"/>
  <c r="E9" i="2"/>
  <c r="D6" i="2"/>
  <c r="C16" i="4" l="1"/>
  <c r="C6" i="3" s="1"/>
  <c r="C9" i="3" s="1"/>
  <c r="C13" i="3" s="1"/>
  <c r="C15" i="3" s="1"/>
  <c r="E7" i="3"/>
  <c r="F7" i="5"/>
  <c r="F9" i="5"/>
  <c r="F10" i="5" s="1"/>
  <c r="F5" i="5"/>
  <c r="C10" i="6"/>
  <c r="C12" i="6" s="1"/>
  <c r="D8" i="4"/>
  <c r="D16" i="4" s="1"/>
  <c r="B12" i="6"/>
  <c r="D8" i="6"/>
  <c r="E7" i="4"/>
  <c r="D10" i="6"/>
  <c r="E8" i="4"/>
  <c r="E10" i="2"/>
  <c r="E11" i="2" s="1"/>
  <c r="E6" i="4" s="1"/>
  <c r="D5" i="6"/>
  <c r="D6" i="6" s="1"/>
  <c r="D7" i="6" s="1"/>
  <c r="E11" i="4"/>
  <c r="D9" i="6"/>
  <c r="E8" i="2"/>
  <c r="E6" i="2"/>
  <c r="G5" i="2"/>
  <c r="F7" i="2"/>
  <c r="F9" i="2"/>
  <c r="D6" i="3" l="1"/>
  <c r="D9" i="3" s="1"/>
  <c r="E16" i="4"/>
  <c r="C15" i="6"/>
  <c r="F8" i="4"/>
  <c r="E10" i="6"/>
  <c r="E8" i="6"/>
  <c r="F7" i="4"/>
  <c r="G5" i="5"/>
  <c r="G7" i="5"/>
  <c r="G9" i="5"/>
  <c r="G10" i="5" s="1"/>
  <c r="F10" i="2"/>
  <c r="F11" i="2" s="1"/>
  <c r="F6" i="4" s="1"/>
  <c r="E5" i="6"/>
  <c r="E6" i="6" s="1"/>
  <c r="E7" i="6" s="1"/>
  <c r="F11" i="4"/>
  <c r="E9" i="6"/>
  <c r="F8" i="2"/>
  <c r="F7" i="3"/>
  <c r="D12" i="6"/>
  <c r="D15" i="6" s="1"/>
  <c r="B15" i="6"/>
  <c r="G9" i="2"/>
  <c r="G7" i="2"/>
  <c r="G6" i="2"/>
  <c r="F6" i="2"/>
  <c r="E6" i="3" l="1"/>
  <c r="G7" i="3"/>
  <c r="F16" i="4"/>
  <c r="F6" i="3" s="1"/>
  <c r="E12" i="6"/>
  <c r="F5" i="6"/>
  <c r="F6" i="6" s="1"/>
  <c r="F7" i="6" s="1"/>
  <c r="G10" i="2"/>
  <c r="G11" i="2"/>
  <c r="G6" i="4" s="1"/>
  <c r="G8" i="4"/>
  <c r="F10" i="6"/>
  <c r="F9" i="6"/>
  <c r="G11" i="4"/>
  <c r="D13" i="3"/>
  <c r="D15" i="3" s="1"/>
  <c r="G8" i="2"/>
  <c r="F8" i="6"/>
  <c r="G7" i="4"/>
  <c r="E9" i="3"/>
  <c r="E13" i="3" s="1"/>
  <c r="E15" i="3" s="1"/>
  <c r="F9" i="3" l="1"/>
  <c r="F13" i="3" s="1"/>
  <c r="F15" i="3" s="1"/>
  <c r="F12" i="6"/>
  <c r="E5" i="7" s="1" a="1"/>
  <c r="E5" i="7" s="1"/>
  <c r="G16" i="4"/>
  <c r="G6" i="3" s="1"/>
  <c r="G9" i="3" s="1"/>
  <c r="G13" i="3" s="1"/>
  <c r="G15" i="3" s="1"/>
  <c r="E15" i="6"/>
  <c r="C8" i="7" a="1"/>
  <c r="C8" i="7" s="1"/>
  <c r="C6" i="7" a="1"/>
  <c r="C6" i="7" s="1"/>
  <c r="C7" i="7" a="1"/>
  <c r="C7" i="7" s="1"/>
  <c r="D7" i="7" l="1" a="1"/>
  <c r="D7" i="7" s="1"/>
  <c r="B5" i="7" a="1"/>
  <c r="B5" i="7" s="1"/>
  <c r="F7" i="7" a="1"/>
  <c r="F7" i="7" s="1"/>
  <c r="F6" i="7" a="1"/>
  <c r="F6" i="7" s="1"/>
  <c r="E9" i="7" a="1"/>
  <c r="E9" i="7" s="1"/>
  <c r="C5" i="7" a="1"/>
  <c r="C5" i="7" s="1"/>
  <c r="F5" i="7" a="1"/>
  <c r="F5" i="7" s="1"/>
  <c r="F9" i="7" a="1"/>
  <c r="F9" i="7" s="1"/>
  <c r="E8" i="7" a="1"/>
  <c r="E8" i="7" s="1"/>
  <c r="B6" i="7" a="1"/>
  <c r="B6" i="7" s="1"/>
  <c r="B14" i="7" s="1"/>
  <c r="D8" i="7" a="1"/>
  <c r="D8" i="7" s="1"/>
  <c r="E7" i="7" a="1"/>
  <c r="E7" i="7" s="1"/>
  <c r="D5" i="7" a="1"/>
  <c r="D5" i="7" s="1"/>
  <c r="B8" i="7" a="1"/>
  <c r="B8" i="7" s="1"/>
  <c r="B16" i="7" s="1"/>
  <c r="F8" i="7" a="1"/>
  <c r="F8" i="7" s="1"/>
  <c r="E6" i="7" a="1"/>
  <c r="E6" i="7" s="1"/>
  <c r="F17" i="6"/>
  <c r="F18" i="6" s="1"/>
  <c r="F15" i="6"/>
  <c r="B20" i="6" s="1"/>
  <c r="B22" i="6" s="1"/>
  <c r="B24" i="6" s="1"/>
  <c r="D9" i="7" a="1"/>
  <c r="D9" i="7" s="1"/>
  <c r="B9" i="7" a="1"/>
  <c r="B9" i="7" s="1"/>
  <c r="C9" i="7" a="1"/>
  <c r="C9" i="7" s="1"/>
  <c r="B7" i="7" a="1"/>
  <c r="B7" i="7" s="1"/>
  <c r="B15" i="7" s="1"/>
  <c r="D6" i="7" a="1"/>
  <c r="D6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<sst xmlns="http://schemas.openxmlformats.org/spreadsheetml/2006/main" count="97" uniqueCount="62">
  <si>
    <t>FY1</t>
  </si>
  <si>
    <t>FY2</t>
  </si>
  <si>
    <t>FY3</t>
  </si>
  <si>
    <t>FY4</t>
  </si>
  <si>
    <t>FY5</t>
  </si>
  <si>
    <t>FY0</t>
  </si>
  <si>
    <t>Operating Assumptions</t>
  </si>
  <si>
    <t>Revenue Growth (%)</t>
  </si>
  <si>
    <t>Gross Margin (%)</t>
  </si>
  <si>
    <t>Operating Margin (%)</t>
  </si>
  <si>
    <t>Tax Rate (%)</t>
  </si>
  <si>
    <t>Capex (% of Revenue)</t>
  </si>
  <si>
    <t>Depreciation (% of Revenue)</t>
  </si>
  <si>
    <t>Working Capital (% of Revenue)</t>
  </si>
  <si>
    <t>Valuation Assumptions</t>
  </si>
  <si>
    <t>WACC</t>
  </si>
  <si>
    <t>Terminal Growth</t>
  </si>
  <si>
    <t>Revenue</t>
  </si>
  <si>
    <t>COGS</t>
  </si>
  <si>
    <t>Gross Profit</t>
  </si>
  <si>
    <t>Operating Expenses</t>
  </si>
  <si>
    <t>EBIT</t>
  </si>
  <si>
    <t>Taxes</t>
  </si>
  <si>
    <t>Net Income</t>
  </si>
  <si>
    <t>Depreciation</t>
  </si>
  <si>
    <t>Cpaex</t>
  </si>
  <si>
    <t>Net Working Capital</t>
  </si>
  <si>
    <t>Change in NWC</t>
  </si>
  <si>
    <t xml:space="preserve">  </t>
  </si>
  <si>
    <t>Cash Flow From operations</t>
  </si>
  <si>
    <t xml:space="preserve">Change in Working Capital </t>
  </si>
  <si>
    <t>Cash Flow From Investing</t>
  </si>
  <si>
    <t>Debt Issued/ Repaid</t>
  </si>
  <si>
    <t>Net Change in Cash</t>
  </si>
  <si>
    <t>Capital Expenditure</t>
  </si>
  <si>
    <t>Cash Flow From Financing</t>
  </si>
  <si>
    <t>Assets</t>
  </si>
  <si>
    <t>Cash</t>
  </si>
  <si>
    <t>PP&amp;E</t>
  </si>
  <si>
    <t>Total Assets</t>
  </si>
  <si>
    <t>Liabilities &amp; Equity</t>
  </si>
  <si>
    <t>Debt</t>
  </si>
  <si>
    <t>Equity</t>
  </si>
  <si>
    <t>Total Liabilites &amp; Equity</t>
  </si>
  <si>
    <t xml:space="preserve"> </t>
  </si>
  <si>
    <t>NOPAT</t>
  </si>
  <si>
    <t>Capex</t>
  </si>
  <si>
    <t>Change in Working Capital</t>
  </si>
  <si>
    <t>Free Cash Flow</t>
  </si>
  <si>
    <t>Discount Factor</t>
  </si>
  <si>
    <t>PV of FCF</t>
  </si>
  <si>
    <t>Terminal Value</t>
  </si>
  <si>
    <t>PV of Terminal Value</t>
  </si>
  <si>
    <t>Enterprise Value</t>
  </si>
  <si>
    <t>Net Debt</t>
  </si>
  <si>
    <t>Equity Value</t>
  </si>
  <si>
    <t>Shares Outstanding</t>
  </si>
  <si>
    <t>Implied Share Price</t>
  </si>
  <si>
    <t>Bull Case</t>
  </si>
  <si>
    <t>Base Case</t>
  </si>
  <si>
    <t>Bear Case</t>
  </si>
  <si>
    <t>Impled 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</si>
</sst>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2" borderId="0" xfId="0" applyFill="1"/>
    <xf numFmtId="0" fontId="1" fillId="3" borderId="0" xfId="0" applyFont="1" applyFill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1" xfId="0" applyFill="1" applyBorder="1"/>
    <xf numFmtId="0" fontId="0" fillId="5" borderId="0" xfId="0" applyFill="1" applyAlignment="1">
      <alignment vertical="center" wrapText="1"/>
    </xf>
    <xf numFmtId="0" fontId="0" fillId="5" borderId="0" xfId="0" applyFill="1"/>
    <xf numFmtId="0" fontId="0" fillId="6" borderId="0" xfId="0" applyFill="1"/>
    <xf numFmtId="0" fontId="1" fillId="6" borderId="0" xfId="0" applyFont="1" applyFill="1"/>
    <xf numFmtId="0" fontId="1" fillId="0" borderId="0" xfId="0" applyFont="1"/>
    <xf numFmtId="0" fontId="0" fillId="8" borderId="0" xfId="0" applyFill="1"/>
    <xf numFmtId="164" fontId="4" fillId="4" borderId="1" xfId="0" applyNumberFormat="1" applyFont="1" applyFill="1" applyBorder="1" applyAlignment="1">
      <alignment vertical="center" wrapText="1"/>
    </xf>
    <xf numFmtId="164" fontId="4" fillId="4" borderId="1" xfId="0" applyNumberFormat="1" applyFont="1" applyFill="1" applyBorder="1"/>
    <xf numFmtId="0" fontId="4" fillId="4" borderId="1" xfId="0" applyFont="1" applyFill="1" applyBorder="1"/>
    <xf numFmtId="10" fontId="4" fillId="4" borderId="1" xfId="0" applyNumberFormat="1" applyFont="1" applyFill="1" applyBorder="1"/>
    <xf numFmtId="3" fontId="0" fillId="9" borderId="3" xfId="0" applyNumberFormat="1" applyFill="1" applyBorder="1"/>
    <xf numFmtId="0" fontId="0" fillId="9" borderId="3" xfId="0" applyFill="1" applyBorder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3" fontId="0" fillId="0" borderId="0" xfId="0" applyNumberFormat="1"/>
    <xf numFmtId="0" fontId="1" fillId="14" borderId="0" xfId="0" applyFont="1" applyFill="1"/>
    <xf numFmtId="0" fontId="0" fillId="14" borderId="0" xfId="0" applyFill="1"/>
    <xf numFmtId="10" fontId="0" fillId="16" borderId="0" xfId="0" applyNumberFormat="1" applyFill="1"/>
    <xf numFmtId="0" fontId="0" fillId="15" borderId="3" xfId="0" applyFill="1" applyBorder="1"/>
    <xf numFmtId="0" fontId="0" fillId="18" borderId="4" xfId="0" applyFill="1" applyBorder="1"/>
    <xf numFmtId="3" fontId="0" fillId="18" borderId="4" xfId="0" applyNumberFormat="1" applyFill="1" applyBorder="1"/>
    <xf numFmtId="0" fontId="0" fillId="19" borderId="0" xfId="0" applyFill="1"/>
    <xf numFmtId="0" fontId="1" fillId="19" borderId="0" xfId="0" applyFont="1" applyFill="1"/>
    <xf numFmtId="0" fontId="0" fillId="20" borderId="0" xfId="0" applyFill="1"/>
    <xf numFmtId="0" fontId="0" fillId="16" borderId="0" xfId="0" applyFill="1"/>
    <xf numFmtId="3" fontId="0" fillId="7" borderId="3" xfId="0" applyNumberFormat="1" applyFill="1" applyBorder="1"/>
    <xf numFmtId="0" fontId="0" fillId="7" borderId="3" xfId="0" applyFill="1" applyBorder="1"/>
    <xf numFmtId="10" fontId="4" fillId="0" borderId="0" xfId="0" applyNumberFormat="1" applyFont="1"/>
    <xf numFmtId="0" fontId="1" fillId="3" borderId="0" xfId="0" applyFont="1" applyFill="1" applyAlignment="1">
      <alignment horizontal="center" vertical="center" wrapText="1"/>
    </xf>
    <xf numFmtId="0" fontId="0" fillId="10" borderId="0" xfId="0" applyFill="1"/>
    <xf numFmtId="0" fontId="0" fillId="10" borderId="3" xfId="0" applyFill="1" applyBorder="1"/>
    <xf numFmtId="3" fontId="5" fillId="10" borderId="3" xfId="0" applyNumberFormat="1" applyFont="1" applyFill="1" applyBorder="1"/>
    <xf numFmtId="3" fontId="0" fillId="10" borderId="3" xfId="0" applyNumberFormat="1" applyFill="1" applyBorder="1"/>
    <xf numFmtId="3" fontId="6" fillId="10" borderId="3" xfId="0" applyNumberFormat="1" applyFont="1" applyFill="1" applyBorder="1"/>
    <xf numFmtId="0" fontId="0" fillId="6" borderId="4" xfId="0" applyFill="1" applyBorder="1"/>
    <xf numFmtId="3" fontId="0" fillId="6" borderId="4" xfId="0" applyNumberFormat="1" applyFill="1" applyBorder="1"/>
    <xf numFmtId="0" fontId="0" fillId="6" borderId="3" xfId="0" applyFill="1" applyBorder="1"/>
    <xf numFmtId="0" fontId="0" fillId="17" borderId="3" xfId="0" applyFill="1" applyBorder="1"/>
    <xf numFmtId="0" fontId="0" fillId="4" borderId="3" xfId="0" applyFill="1" applyBorder="1"/>
    <xf numFmtId="0" fontId="0" fillId="1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0" fillId="4" borderId="6" xfId="0" applyFill="1" applyBorder="1" applyAlignment="1">
      <alignment vertical="center" wrapText="1"/>
    </xf>
    <xf numFmtId="0" fontId="0" fillId="4" borderId="7" xfId="0" applyFill="1" applyBorder="1"/>
    <xf numFmtId="0" fontId="0" fillId="0" borderId="0" xfId="0" applyAlignment="1">
      <alignment vertical="center" wrapText="1"/>
    </xf>
    <xf numFmtId="0" fontId="0" fillId="12" borderId="0" xfId="0" applyFill="1"/>
    <xf numFmtId="0" fontId="0" fillId="12" borderId="3" xfId="0" applyFill="1" applyBorder="1"/>
    <xf numFmtId="0" fontId="0" fillId="11" borderId="3" xfId="0" applyFill="1" applyBorder="1"/>
    <xf numFmtId="3" fontId="0" fillId="11" borderId="3" xfId="0" applyNumberFormat="1" applyFill="1" applyBorder="1"/>
    <xf numFmtId="0" fontId="0" fillId="13" borderId="3" xfId="0" applyFill="1" applyBorder="1"/>
    <xf numFmtId="3" fontId="0" fillId="13" borderId="3" xfId="0" applyNumberFormat="1" applyFill="1" applyBorder="1"/>
    <xf numFmtId="10" fontId="1" fillId="6" borderId="3" xfId="0" applyNumberFormat="1" applyFont="1" applyFill="1" applyBorder="1"/>
    <xf numFmtId="0" fontId="1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671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11206</xdr:colOff>
      <xdr:row>17</xdr:row>
      <xdr:rowOff>11206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0738035-C766-8FDD-5457-9C3F22CA89F5}"/>
            </a:ext>
          </a:extLst>
        </xdr:cNvPr>
        <xdr:cNvSpPr/>
      </xdr:nvSpPr>
      <xdr:spPr>
        <a:xfrm>
          <a:off x="0" y="190500"/>
          <a:ext cx="8830235" cy="3059206"/>
        </a:xfrm>
        <a:prstGeom prst="roundRect">
          <a:avLst>
            <a:gd name="adj" fmla="val 3114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67235</xdr:rowOff>
    </xdr:from>
    <xdr:to>
      <xdr:col>7</xdr:col>
      <xdr:colOff>11206</xdr:colOff>
      <xdr:row>1</xdr:row>
      <xdr:rowOff>156883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9686FAB-E4EB-0671-54A5-4AF33D8FB3C7}"/>
            </a:ext>
          </a:extLst>
        </xdr:cNvPr>
        <xdr:cNvSpPr/>
      </xdr:nvSpPr>
      <xdr:spPr>
        <a:xfrm>
          <a:off x="0" y="67235"/>
          <a:ext cx="8830235" cy="280148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  <a:ln>
          <a:noFill/>
        </a:ln>
        <a:effectLst>
          <a:reflection blurRad="6350" stA="50000" endA="300" endPos="55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</a:rPr>
            <a:t>Key Model Assumptions (5-Year Forecast)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180975</xdr:rowOff>
    </xdr:from>
    <xdr:to>
      <xdr:col>7</xdr:col>
      <xdr:colOff>9525</xdr:colOff>
      <xdr:row>10</xdr:row>
      <xdr:rowOff>190499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B4B9BAE-F85C-FAAA-C6E3-C864EF8DC782}"/>
            </a:ext>
          </a:extLst>
        </xdr:cNvPr>
        <xdr:cNvSpPr/>
      </xdr:nvSpPr>
      <xdr:spPr>
        <a:xfrm>
          <a:off x="9525" y="371475"/>
          <a:ext cx="7381875" cy="1724024"/>
        </a:xfrm>
        <a:prstGeom prst="roundRect">
          <a:avLst>
            <a:gd name="adj" fmla="val 4296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19051</xdr:colOff>
      <xdr:row>0</xdr:row>
      <xdr:rowOff>57150</xdr:rowOff>
    </xdr:from>
    <xdr:to>
      <xdr:col>6</xdr:col>
      <xdr:colOff>952501</xdr:colOff>
      <xdr:row>1</xdr:row>
      <xdr:rowOff>104775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08216ED-AE26-4164-1954-5FAE4B4095CC}"/>
            </a:ext>
          </a:extLst>
        </xdr:cNvPr>
        <xdr:cNvSpPr/>
      </xdr:nvSpPr>
      <xdr:spPr>
        <a:xfrm>
          <a:off x="19051" y="57150"/>
          <a:ext cx="7353300" cy="238125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effectLst>
          <a:reflection blurRad="6350" stA="50000" endA="300" endPos="550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>
              <a:solidFill>
                <a:schemeClr val="tx1"/>
              </a:solidFill>
            </a:rPr>
            <a:t>Projected Income Statement (FY1–FY5)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7</xdr:col>
      <xdr:colOff>0</xdr:colOff>
      <xdr:row>15</xdr:row>
      <xdr:rowOff>9526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334926B-79F9-B65A-DEE7-56DD57689327}"/>
            </a:ext>
          </a:extLst>
        </xdr:cNvPr>
        <xdr:cNvSpPr/>
      </xdr:nvSpPr>
      <xdr:spPr>
        <a:xfrm>
          <a:off x="0" y="571500"/>
          <a:ext cx="6762750" cy="2295526"/>
        </a:xfrm>
        <a:prstGeom prst="roundRect">
          <a:avLst>
            <a:gd name="adj" fmla="val 2381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19051</xdr:colOff>
      <xdr:row>0</xdr:row>
      <xdr:rowOff>66675</xdr:rowOff>
    </xdr:from>
    <xdr:to>
      <xdr:col>7</xdr:col>
      <xdr:colOff>9525</xdr:colOff>
      <xdr:row>2</xdr:row>
      <xdr:rowOff>9525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34729D9-C478-83B7-9181-3CAFBAA9B2B2}"/>
            </a:ext>
          </a:extLst>
        </xdr:cNvPr>
        <xdr:cNvSpPr/>
      </xdr:nvSpPr>
      <xdr:spPr>
        <a:xfrm>
          <a:off x="19051" y="66675"/>
          <a:ext cx="6753224" cy="32385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effectLst>
          <a:reflection blurRad="6350" stA="50000" endA="300" endPos="550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>
              <a:solidFill>
                <a:schemeClr val="tx1"/>
              </a:solidFill>
            </a:rPr>
            <a:t>Integrated Balance Sheet (Reconciled)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172416</xdr:rowOff>
    </xdr:from>
    <xdr:to>
      <xdr:col>7</xdr:col>
      <xdr:colOff>10949</xdr:colOff>
      <xdr:row>16</xdr:row>
      <xdr:rowOff>10948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E048ADE-14FA-72C3-4CFF-EF96C7311C84}"/>
            </a:ext>
          </a:extLst>
        </xdr:cNvPr>
        <xdr:cNvSpPr/>
      </xdr:nvSpPr>
      <xdr:spPr>
        <a:xfrm>
          <a:off x="0" y="544657"/>
          <a:ext cx="7094483" cy="2444222"/>
        </a:xfrm>
        <a:prstGeom prst="roundRect">
          <a:avLst>
            <a:gd name="adj" fmla="val 1991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21897</xdr:colOff>
      <xdr:row>0</xdr:row>
      <xdr:rowOff>120432</xdr:rowOff>
    </xdr:from>
    <xdr:to>
      <xdr:col>7</xdr:col>
      <xdr:colOff>21897</xdr:colOff>
      <xdr:row>2</xdr:row>
      <xdr:rowOff>20036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53116CB-D384-44B8-88D9-2495D52AAD9C}"/>
            </a:ext>
          </a:extLst>
        </xdr:cNvPr>
        <xdr:cNvSpPr/>
      </xdr:nvSpPr>
      <xdr:spPr>
        <a:xfrm>
          <a:off x="21897" y="120432"/>
          <a:ext cx="7083534" cy="27184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effectLst>
          <a:reflection blurRad="6350" stA="50000" endA="300" endPos="550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>
              <a:solidFill>
                <a:schemeClr val="tx1"/>
              </a:solidFill>
            </a:rPr>
            <a:t>Cash Flow Statement (Derived from IS &amp; Schedules)</a:t>
          </a:r>
        </a:p>
        <a:p>
          <a:pPr algn="l"/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9525</xdr:rowOff>
    </xdr:from>
    <xdr:to>
      <xdr:col>7</xdr:col>
      <xdr:colOff>9525</xdr:colOff>
      <xdr:row>10</xdr:row>
      <xdr:rowOff>19050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D418C48-716F-8E4D-0E71-7D5088B1D45C}"/>
            </a:ext>
          </a:extLst>
        </xdr:cNvPr>
        <xdr:cNvSpPr/>
      </xdr:nvSpPr>
      <xdr:spPr>
        <a:xfrm>
          <a:off x="28575" y="581025"/>
          <a:ext cx="5629275" cy="1343025"/>
        </a:xfrm>
        <a:prstGeom prst="roundRect">
          <a:avLst>
            <a:gd name="adj" fmla="val 394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1</xdr:row>
      <xdr:rowOff>19050</xdr:rowOff>
    </xdr:from>
    <xdr:to>
      <xdr:col>6</xdr:col>
      <xdr:colOff>600075</xdr:colOff>
      <xdr:row>2</xdr:row>
      <xdr:rowOff>114300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E9D11E3-50B8-4DB6-B233-8C955245B2C2}"/>
            </a:ext>
          </a:extLst>
        </xdr:cNvPr>
        <xdr:cNvSpPr/>
      </xdr:nvSpPr>
      <xdr:spPr>
        <a:xfrm>
          <a:off x="0" y="209550"/>
          <a:ext cx="5638800" cy="2857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effectLst>
          <a:reflection blurRad="6350" stA="50000" endA="300" endPos="550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>
              <a:solidFill>
                <a:schemeClr val="tx1"/>
              </a:solidFill>
            </a:rPr>
            <a:t>Supporting Schedules (Depreciation, Capex, Working Capital)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180974</xdr:rowOff>
    </xdr:from>
    <xdr:to>
      <xdr:col>6</xdr:col>
      <xdr:colOff>9526</xdr:colOff>
      <xdr:row>24</xdr:row>
      <xdr:rowOff>19050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CB0E8F97-6124-7799-9380-AF76FD54E3F2}"/>
            </a:ext>
          </a:extLst>
        </xdr:cNvPr>
        <xdr:cNvSpPr/>
      </xdr:nvSpPr>
      <xdr:spPr>
        <a:xfrm>
          <a:off x="1" y="561974"/>
          <a:ext cx="6591300" cy="4029076"/>
        </a:xfrm>
        <a:prstGeom prst="roundRect">
          <a:avLst>
            <a:gd name="adj" fmla="val 1488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28575</xdr:colOff>
      <xdr:row>0</xdr:row>
      <xdr:rowOff>104775</xdr:rowOff>
    </xdr:from>
    <xdr:to>
      <xdr:col>6</xdr:col>
      <xdr:colOff>9525</xdr:colOff>
      <xdr:row>2</xdr:row>
      <xdr:rowOff>9525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A99D71F-1BBE-1AB3-4C90-F84E388B7CD3}"/>
            </a:ext>
          </a:extLst>
        </xdr:cNvPr>
        <xdr:cNvSpPr/>
      </xdr:nvSpPr>
      <xdr:spPr>
        <a:xfrm>
          <a:off x="28575" y="104775"/>
          <a:ext cx="6562725" cy="28575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effectLst>
          <a:reflection blurRad="6350" stA="50000" endA="300" endPos="550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>
              <a:solidFill>
                <a:schemeClr val="tx1"/>
              </a:solidFill>
            </a:rPr>
            <a:t>Discounted Cash Flow Valuation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0</xdr:rowOff>
    </xdr:from>
    <xdr:to>
      <xdr:col>5</xdr:col>
      <xdr:colOff>600075</xdr:colOff>
      <xdr:row>9</xdr:row>
      <xdr:rowOff>19050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385140E-7BE8-7A3A-95A7-9B621E68DCA6}"/>
            </a:ext>
          </a:extLst>
        </xdr:cNvPr>
        <xdr:cNvSpPr/>
      </xdr:nvSpPr>
      <xdr:spPr>
        <a:xfrm>
          <a:off x="9525" y="0"/>
          <a:ext cx="5210175" cy="1162050"/>
        </a:xfrm>
        <a:prstGeom prst="roundRect">
          <a:avLst>
            <a:gd name="adj" fmla="val 5129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11</xdr:row>
      <xdr:rowOff>180975</xdr:rowOff>
    </xdr:from>
    <xdr:to>
      <xdr:col>2</xdr:col>
      <xdr:colOff>19050</xdr:colOff>
      <xdr:row>15</xdr:row>
      <xdr:rowOff>180975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A0992FF-C138-EA23-8064-16C765C91D72}"/>
            </a:ext>
          </a:extLst>
        </xdr:cNvPr>
        <xdr:cNvSpPr/>
      </xdr:nvSpPr>
      <xdr:spPr>
        <a:xfrm>
          <a:off x="0" y="1704975"/>
          <a:ext cx="1990725" cy="762000"/>
        </a:xfrm>
        <a:prstGeom prst="roundRect">
          <a:avLst>
            <a:gd name="adj" fmla="val 6202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</xdr:colOff>
      <xdr:row>0</xdr:row>
      <xdr:rowOff>114300</xdr:rowOff>
    </xdr:from>
    <xdr:to>
      <xdr:col>6</xdr:col>
      <xdr:colOff>0</xdr:colOff>
      <xdr:row>2</xdr:row>
      <xdr:rowOff>85725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FABBA46-8918-8AAD-64F6-5A90B93EB847}"/>
            </a:ext>
          </a:extLst>
        </xdr:cNvPr>
        <xdr:cNvSpPr/>
      </xdr:nvSpPr>
      <xdr:spPr>
        <a:xfrm>
          <a:off x="9525" y="114300"/>
          <a:ext cx="5219700" cy="35242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effectLst>
          <a:reflection blurRad="6350" stA="50000" endA="300" endPos="550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>
              <a:solidFill>
                <a:schemeClr val="tx1"/>
              </a:solidFill>
            </a:rPr>
            <a:t>Valuation Sensitivity: WACC × Terminal Growth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24F0-DDFE-4E62-9729-8B9F1DC972D5}">
  <dimension ref="A3:J18"/>
  <sheetViews>
    <sheetView zoomScale="85" workbookViewId="0">
      <selection activeCell="E28" sqref="E28"/>
    </sheetView>
  </sheetViews>
  <sheetFormatPr defaultRowHeight="15" x14ac:dyDescent="0.25"/>
  <cols>
    <col min="1" max="1" width="38.42578125" customWidth="1"/>
    <col min="2" max="2" width="23" customWidth="1"/>
    <col min="3" max="3" width="23.28515625" customWidth="1"/>
    <col min="5" max="5" width="20.140625" customWidth="1"/>
    <col min="9" max="9" width="25" customWidth="1"/>
  </cols>
  <sheetData>
    <row r="3" spans="1:10" x14ac:dyDescent="0.25">
      <c r="A3" s="37"/>
      <c r="B3" s="49" t="s">
        <v>5</v>
      </c>
      <c r="C3" s="50" t="s">
        <v>0</v>
      </c>
      <c r="D3" s="50" t="s">
        <v>1</v>
      </c>
      <c r="E3" s="50" t="s">
        <v>2</v>
      </c>
      <c r="F3" s="50" t="s">
        <v>3</v>
      </c>
      <c r="G3" s="50" t="s">
        <v>4</v>
      </c>
    </row>
    <row r="4" spans="1:10" x14ac:dyDescent="0.25">
      <c r="A4" s="7"/>
      <c r="B4" s="7"/>
      <c r="C4" s="8"/>
      <c r="D4" s="8"/>
      <c r="E4" s="8"/>
      <c r="F4" s="8"/>
      <c r="G4" s="8"/>
    </row>
    <row r="5" spans="1:10" x14ac:dyDescent="0.25">
      <c r="A5" s="4" t="s">
        <v>6</v>
      </c>
      <c r="B5" s="5"/>
      <c r="C5" s="6"/>
      <c r="D5" s="6"/>
      <c r="E5" s="6"/>
      <c r="F5" s="6"/>
      <c r="G5" s="6"/>
    </row>
    <row r="6" spans="1:10" x14ac:dyDescent="0.25">
      <c r="A6" s="1" t="s">
        <v>7</v>
      </c>
      <c r="B6" s="5"/>
      <c r="C6" s="13">
        <v>0.05</v>
      </c>
      <c r="D6" s="13">
        <v>0.05</v>
      </c>
      <c r="E6" s="13">
        <v>0.05</v>
      </c>
      <c r="F6" s="13">
        <v>0.05</v>
      </c>
      <c r="G6" s="13">
        <v>0.05</v>
      </c>
    </row>
    <row r="7" spans="1:10" x14ac:dyDescent="0.25">
      <c r="A7" s="1" t="s">
        <v>8</v>
      </c>
      <c r="B7" s="5"/>
      <c r="C7" s="14">
        <v>0.44</v>
      </c>
      <c r="D7" s="14">
        <v>0.44</v>
      </c>
      <c r="E7" s="14">
        <v>0.44</v>
      </c>
      <c r="F7" s="14">
        <v>0.44</v>
      </c>
      <c r="G7" s="14">
        <v>0.44</v>
      </c>
    </row>
    <row r="8" spans="1:10" x14ac:dyDescent="0.25">
      <c r="A8" s="2" t="s">
        <v>9</v>
      </c>
      <c r="B8" s="5"/>
      <c r="C8" s="14">
        <v>0.3</v>
      </c>
      <c r="D8" s="14">
        <v>0.3</v>
      </c>
      <c r="E8" s="14">
        <v>0.3</v>
      </c>
      <c r="F8" s="14">
        <v>0.3</v>
      </c>
      <c r="G8" s="14">
        <v>0.3</v>
      </c>
    </row>
    <row r="9" spans="1:10" x14ac:dyDescent="0.25">
      <c r="A9" s="2" t="s">
        <v>10</v>
      </c>
      <c r="B9" s="5"/>
      <c r="C9" s="14">
        <v>0.16</v>
      </c>
      <c r="D9" s="14">
        <v>0.16</v>
      </c>
      <c r="E9" s="14">
        <v>0.16</v>
      </c>
      <c r="F9" s="14">
        <v>0.16</v>
      </c>
      <c r="G9" s="14">
        <v>0.16</v>
      </c>
    </row>
    <row r="10" spans="1:10" x14ac:dyDescent="0.25">
      <c r="A10" s="1" t="s">
        <v>11</v>
      </c>
      <c r="B10" s="5"/>
      <c r="C10" s="14">
        <v>0.03</v>
      </c>
      <c r="D10" s="14">
        <v>0.03</v>
      </c>
      <c r="E10" s="14">
        <v>0.03</v>
      </c>
      <c r="F10" s="14">
        <v>0.03</v>
      </c>
      <c r="G10" s="14">
        <v>0.03</v>
      </c>
    </row>
    <row r="11" spans="1:10" x14ac:dyDescent="0.25">
      <c r="A11" s="1" t="s">
        <v>12</v>
      </c>
      <c r="B11" s="5"/>
      <c r="C11" s="14">
        <v>3.5000000000000003E-2</v>
      </c>
      <c r="D11" s="14">
        <v>3.5000000000000003E-2</v>
      </c>
      <c r="E11" s="14">
        <v>3.5000000000000003E-2</v>
      </c>
      <c r="F11" s="14">
        <v>3.5000000000000003E-2</v>
      </c>
      <c r="G11" s="14">
        <v>3.5000000000000003E-2</v>
      </c>
    </row>
    <row r="12" spans="1:10" x14ac:dyDescent="0.25">
      <c r="A12" s="1" t="s">
        <v>13</v>
      </c>
      <c r="B12" s="5"/>
      <c r="C12" s="14">
        <v>0.01</v>
      </c>
      <c r="D12" s="14">
        <v>0.01</v>
      </c>
      <c r="E12" s="14">
        <v>0.01</v>
      </c>
      <c r="F12" s="14">
        <v>0.01</v>
      </c>
      <c r="G12" s="14">
        <v>0.01</v>
      </c>
    </row>
    <row r="13" spans="1:10" x14ac:dyDescent="0.25">
      <c r="A13" s="3"/>
      <c r="B13" s="5"/>
      <c r="C13" s="15"/>
      <c r="D13" s="15"/>
      <c r="E13" s="15"/>
      <c r="F13" s="15"/>
      <c r="G13" s="15"/>
    </row>
    <row r="14" spans="1:10" x14ac:dyDescent="0.25">
      <c r="A14" s="1" t="s">
        <v>14</v>
      </c>
      <c r="B14" s="5"/>
      <c r="C14" s="15"/>
      <c r="D14" s="15"/>
      <c r="E14" s="15"/>
      <c r="F14" s="15"/>
      <c r="G14" s="15"/>
    </row>
    <row r="15" spans="1:10" x14ac:dyDescent="0.25">
      <c r="A15" s="1" t="s">
        <v>15</v>
      </c>
      <c r="B15" s="5"/>
      <c r="C15" s="16">
        <v>0.08</v>
      </c>
      <c r="D15" s="16">
        <v>0.08</v>
      </c>
      <c r="E15" s="16">
        <v>0.08</v>
      </c>
      <c r="F15" s="16">
        <v>0.08</v>
      </c>
      <c r="G15" s="16">
        <v>0.08</v>
      </c>
    </row>
    <row r="16" spans="1:10" x14ac:dyDescent="0.25">
      <c r="A16" s="1" t="s">
        <v>16</v>
      </c>
      <c r="B16" s="5"/>
      <c r="C16" s="16">
        <v>2.5000000000000001E-2</v>
      </c>
      <c r="D16" s="16">
        <v>2.5000000000000001E-2</v>
      </c>
      <c r="E16" s="16">
        <v>2.5000000000000001E-2</v>
      </c>
      <c r="F16" s="16">
        <v>2.5000000000000001E-2</v>
      </c>
      <c r="G16" s="16">
        <v>2.5000000000000001E-2</v>
      </c>
      <c r="J16" s="36"/>
    </row>
    <row r="17" spans="1:10" x14ac:dyDescent="0.25">
      <c r="A17" s="3"/>
      <c r="B17" s="52"/>
      <c r="C17" s="53"/>
      <c r="D17" s="53"/>
      <c r="E17" s="53"/>
      <c r="F17" s="53"/>
      <c r="G17" s="53"/>
      <c r="J17" s="36"/>
    </row>
    <row r="18" spans="1:10" x14ac:dyDescent="0.25">
      <c r="A18" s="51"/>
      <c r="B18" s="5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F6BA-CB23-49BD-99A2-03D033471801}">
  <dimension ref="A3:G11"/>
  <sheetViews>
    <sheetView workbookViewId="0">
      <selection activeCell="B13" sqref="B13"/>
    </sheetView>
  </sheetViews>
  <sheetFormatPr defaultRowHeight="15" x14ac:dyDescent="0.25"/>
  <cols>
    <col min="1" max="1" width="22.140625" customWidth="1"/>
    <col min="2" max="2" width="16.140625" customWidth="1"/>
    <col min="3" max="3" width="15.5703125" customWidth="1"/>
    <col min="4" max="4" width="13.7109375" customWidth="1"/>
    <col min="5" max="5" width="14.5703125" customWidth="1"/>
    <col min="6" max="6" width="14.140625" customWidth="1"/>
    <col min="7" max="7" width="14.42578125" customWidth="1"/>
  </cols>
  <sheetData>
    <row r="3" spans="1:7" x14ac:dyDescent="0.25">
      <c r="A3" s="9"/>
      <c r="B3" s="10" t="s">
        <v>5</v>
      </c>
      <c r="C3" s="10" t="s">
        <v>0</v>
      </c>
      <c r="D3" s="10" t="s">
        <v>1</v>
      </c>
      <c r="E3" s="10" t="s">
        <v>2</v>
      </c>
      <c r="F3" s="10" t="s">
        <v>3</v>
      </c>
      <c r="G3" s="10" t="s">
        <v>4</v>
      </c>
    </row>
    <row r="4" spans="1:7" x14ac:dyDescent="0.25">
      <c r="A4" s="12"/>
      <c r="B4" s="12"/>
      <c r="C4" s="12"/>
      <c r="D4" s="12"/>
      <c r="E4" s="12"/>
      <c r="F4" s="12"/>
      <c r="G4" s="12"/>
    </row>
    <row r="5" spans="1:7" x14ac:dyDescent="0.25">
      <c r="A5" s="10" t="s">
        <v>17</v>
      </c>
      <c r="B5" s="34">
        <v>416161000</v>
      </c>
      <c r="C5" s="35">
        <f>B5 * (1 + Assumptions!C6)</f>
        <v>436969050</v>
      </c>
      <c r="D5" s="35">
        <f>C5 * (1 + Assumptions!D6)</f>
        <v>458817502.5</v>
      </c>
      <c r="E5" s="35">
        <f>D5 * (1 + Assumptions!E6)</f>
        <v>481758377.625</v>
      </c>
      <c r="F5" s="35">
        <f>E5 * (1 + Assumptions!F6)</f>
        <v>505846296.50625002</v>
      </c>
      <c r="G5" s="35">
        <f>F5 * (1 + Assumptions!G6)</f>
        <v>531138611.33156252</v>
      </c>
    </row>
    <row r="6" spans="1:7" x14ac:dyDescent="0.25">
      <c r="A6" s="10" t="s">
        <v>18</v>
      </c>
      <c r="B6" s="34">
        <v>220960000</v>
      </c>
      <c r="C6" s="35">
        <f>C5-C7</f>
        <v>244702668</v>
      </c>
      <c r="D6" s="35">
        <f t="shared" ref="D6:G6" si="0">D5-D7</f>
        <v>256937801.40000001</v>
      </c>
      <c r="E6" s="35">
        <f t="shared" si="0"/>
        <v>269784691.47000003</v>
      </c>
      <c r="F6" s="35">
        <f t="shared" si="0"/>
        <v>283273926.04350001</v>
      </c>
      <c r="G6" s="35">
        <f t="shared" si="0"/>
        <v>297437622.34567499</v>
      </c>
    </row>
    <row r="7" spans="1:7" x14ac:dyDescent="0.25">
      <c r="A7" s="10" t="s">
        <v>19</v>
      </c>
      <c r="B7" s="34">
        <v>195201000</v>
      </c>
      <c r="C7" s="35">
        <f>C5*Assumptions!C7</f>
        <v>192266382</v>
      </c>
      <c r="D7" s="35">
        <f>D5*Assumptions!D7</f>
        <v>201879701.09999999</v>
      </c>
      <c r="E7" s="35">
        <f>E5*Assumptions!E7</f>
        <v>211973686.155</v>
      </c>
      <c r="F7" s="35">
        <f>F5*Assumptions!F7</f>
        <v>222572370.46275002</v>
      </c>
      <c r="G7" s="35">
        <f>G5*Assumptions!G7</f>
        <v>233700988.9858875</v>
      </c>
    </row>
    <row r="8" spans="1:7" x14ac:dyDescent="0.25">
      <c r="A8" s="10" t="s">
        <v>20</v>
      </c>
      <c r="B8" s="34">
        <v>62151000</v>
      </c>
      <c r="C8" s="35">
        <f>C7-C9</f>
        <v>61175667</v>
      </c>
      <c r="D8" s="35">
        <f t="shared" ref="D8:G8" si="1">D7-D9</f>
        <v>64234450.349999994</v>
      </c>
      <c r="E8" s="35">
        <f t="shared" si="1"/>
        <v>67446172.867500007</v>
      </c>
      <c r="F8" s="35">
        <f t="shared" si="1"/>
        <v>70818481.510875016</v>
      </c>
      <c r="G8" s="35">
        <f t="shared" si="1"/>
        <v>74359405.586418748</v>
      </c>
    </row>
    <row r="9" spans="1:7" x14ac:dyDescent="0.25">
      <c r="A9" s="10" t="s">
        <v>21</v>
      </c>
      <c r="B9" s="34">
        <v>133050000</v>
      </c>
      <c r="C9" s="35">
        <f>C5 * Assumptions!C8</f>
        <v>131090715</v>
      </c>
      <c r="D9" s="35">
        <f>D5 * Assumptions!D8</f>
        <v>137645250.75</v>
      </c>
      <c r="E9" s="35">
        <f>E5 * Assumptions!E8</f>
        <v>144527513.28749999</v>
      </c>
      <c r="F9" s="35">
        <f>F5 * Assumptions!F8</f>
        <v>151753888.951875</v>
      </c>
      <c r="G9" s="35">
        <f>G5 * Assumptions!G8</f>
        <v>159341583.39946875</v>
      </c>
    </row>
    <row r="10" spans="1:7" x14ac:dyDescent="0.25">
      <c r="A10" s="10" t="s">
        <v>22</v>
      </c>
      <c r="B10" s="34">
        <v>20719000</v>
      </c>
      <c r="C10" s="35">
        <f>C9 * Assumptions!C9</f>
        <v>20974514.400000002</v>
      </c>
      <c r="D10" s="35">
        <f>D9 * Assumptions!D9</f>
        <v>22023240.120000001</v>
      </c>
      <c r="E10" s="35">
        <f>E9 * Assumptions!E9</f>
        <v>23124402.125999998</v>
      </c>
      <c r="F10" s="35">
        <f>F9 * Assumptions!F9</f>
        <v>24280622.232300002</v>
      </c>
      <c r="G10" s="35">
        <f>G9 * Assumptions!G9</f>
        <v>25494653.343915001</v>
      </c>
    </row>
    <row r="11" spans="1:7" x14ac:dyDescent="0.25">
      <c r="A11" s="10" t="s">
        <v>23</v>
      </c>
      <c r="B11" s="34">
        <v>93736000</v>
      </c>
      <c r="C11" s="35">
        <f>C9-C10</f>
        <v>110116200.59999999</v>
      </c>
      <c r="D11" s="35">
        <f t="shared" ref="D11:G11" si="2">D9-D10</f>
        <v>115622010.63</v>
      </c>
      <c r="E11" s="35">
        <f t="shared" si="2"/>
        <v>121403111.16149999</v>
      </c>
      <c r="F11" s="35">
        <f t="shared" si="2"/>
        <v>127473266.719575</v>
      </c>
      <c r="G11" s="35">
        <f t="shared" si="2"/>
        <v>133846930.05555375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E83AC-F188-424A-9232-48FE7AB36014}">
  <dimension ref="A4:G17"/>
  <sheetViews>
    <sheetView workbookViewId="0">
      <selection activeCell="F23" sqref="F23"/>
    </sheetView>
  </sheetViews>
  <sheetFormatPr defaultRowHeight="15" x14ac:dyDescent="0.25"/>
  <cols>
    <col min="1" max="1" width="21.85546875" customWidth="1"/>
    <col min="2" max="2" width="14.28515625" customWidth="1"/>
    <col min="3" max="3" width="14" customWidth="1"/>
    <col min="4" max="4" width="13.7109375" customWidth="1"/>
    <col min="5" max="5" width="14" customWidth="1"/>
    <col min="6" max="6" width="12.140625" customWidth="1"/>
    <col min="7" max="7" width="11.42578125" customWidth="1"/>
  </cols>
  <sheetData>
    <row r="4" spans="1:7" x14ac:dyDescent="0.25">
      <c r="A4" s="38"/>
      <c r="B4" s="38" t="s">
        <v>5</v>
      </c>
      <c r="C4" s="38" t="s">
        <v>0</v>
      </c>
      <c r="D4" s="38" t="s">
        <v>1</v>
      </c>
      <c r="E4" s="38" t="s">
        <v>2</v>
      </c>
      <c r="F4" s="38" t="s">
        <v>3</v>
      </c>
      <c r="G4" s="38" t="s">
        <v>4</v>
      </c>
    </row>
    <row r="5" spans="1:7" x14ac:dyDescent="0.25">
      <c r="A5" s="19" t="s">
        <v>36</v>
      </c>
      <c r="B5" s="39"/>
      <c r="C5" s="39"/>
      <c r="D5" s="39"/>
      <c r="E5" s="39"/>
      <c r="F5" s="39"/>
      <c r="G5" s="39"/>
    </row>
    <row r="6" spans="1:7" x14ac:dyDescent="0.25">
      <c r="A6" s="19" t="s">
        <v>37</v>
      </c>
      <c r="B6" s="40">
        <v>54697000</v>
      </c>
      <c r="C6" s="41">
        <f>B6+'Cash flow'!C16</f>
        <v>139223355.34999999</v>
      </c>
      <c r="D6" s="41">
        <f>C6+'Cash flow'!D16</f>
        <v>256920968.96749997</v>
      </c>
      <c r="E6" s="41">
        <f>D6+'Cash flow'!E16</f>
        <v>380503463.26587498</v>
      </c>
      <c r="F6" s="41">
        <f>E6+'Cash flow'!F16</f>
        <v>510265082.27916873</v>
      </c>
      <c r="G6" s="41">
        <f>F6+'Cash flow'!G16</f>
        <v>646514782.24312723</v>
      </c>
    </row>
    <row r="7" spans="1:7" x14ac:dyDescent="0.25">
      <c r="A7" s="19" t="s">
        <v>38</v>
      </c>
      <c r="B7" s="42">
        <v>49834000</v>
      </c>
      <c r="C7" s="41">
        <f>B7+'Supporting schedule'!C7 -'Supporting schedule'!C5</f>
        <v>47649154.75</v>
      </c>
      <c r="D7" s="41">
        <f>C7+'Supporting schedule'!D7 -'Supporting schedule'!D5</f>
        <v>45355067.237499997</v>
      </c>
      <c r="E7" s="41">
        <f>D7+'Supporting schedule'!E7 -'Supporting schedule'!E5</f>
        <v>42946275.349374995</v>
      </c>
      <c r="F7" s="41">
        <f>E7+'Supporting schedule'!F7 -'Supporting schedule'!F5</f>
        <v>40417043.866843738</v>
      </c>
      <c r="G7" s="41">
        <f>F7+'Supporting schedule'!G7 -'Supporting schedule'!G5</f>
        <v>37761350.810185924</v>
      </c>
    </row>
    <row r="8" spans="1:7" x14ac:dyDescent="0.25">
      <c r="A8" s="38"/>
      <c r="B8" s="39"/>
      <c r="C8" s="39" t="s">
        <v>44</v>
      </c>
      <c r="D8" s="39"/>
      <c r="E8" s="39"/>
      <c r="F8" s="39"/>
      <c r="G8" s="39"/>
    </row>
    <row r="9" spans="1:7" x14ac:dyDescent="0.25">
      <c r="A9" s="20" t="s">
        <v>39</v>
      </c>
      <c r="B9" s="57"/>
      <c r="C9" s="58">
        <f>C6+C7</f>
        <v>186872510.09999999</v>
      </c>
      <c r="D9" s="58">
        <f t="shared" ref="D9:G9" si="0">D6+D7</f>
        <v>302276036.20499998</v>
      </c>
      <c r="E9" s="58">
        <f t="shared" si="0"/>
        <v>423449738.61524999</v>
      </c>
      <c r="F9" s="58">
        <f t="shared" si="0"/>
        <v>550682126.14601243</v>
      </c>
      <c r="G9" s="58">
        <f t="shared" si="0"/>
        <v>684276133.05331314</v>
      </c>
    </row>
    <row r="10" spans="1:7" x14ac:dyDescent="0.25">
      <c r="A10" s="55"/>
      <c r="B10" s="56"/>
      <c r="C10" s="56"/>
      <c r="D10" s="56"/>
      <c r="E10" s="56"/>
      <c r="F10" s="56"/>
      <c r="G10" s="56"/>
    </row>
    <row r="11" spans="1:7" x14ac:dyDescent="0.25">
      <c r="A11" s="21" t="s">
        <v>40</v>
      </c>
      <c r="B11" s="39"/>
      <c r="C11" s="39"/>
      <c r="D11" s="39"/>
      <c r="E11" s="39"/>
      <c r="F11" s="39"/>
      <c r="G11" s="39"/>
    </row>
    <row r="12" spans="1:7" x14ac:dyDescent="0.25">
      <c r="A12" s="21" t="s">
        <v>41</v>
      </c>
      <c r="B12" s="40">
        <v>98657000</v>
      </c>
      <c r="C12" s="41">
        <f>B12</f>
        <v>98657000</v>
      </c>
      <c r="D12" s="41">
        <f t="shared" ref="D12:G12" si="1">C12</f>
        <v>98657000</v>
      </c>
      <c r="E12" s="41">
        <f t="shared" si="1"/>
        <v>98657000</v>
      </c>
      <c r="F12" s="41">
        <f t="shared" si="1"/>
        <v>98657000</v>
      </c>
      <c r="G12" s="41">
        <f t="shared" si="1"/>
        <v>98657000</v>
      </c>
    </row>
    <row r="13" spans="1:7" x14ac:dyDescent="0.25">
      <c r="A13" s="21" t="s">
        <v>42</v>
      </c>
      <c r="B13" s="42">
        <v>73733000</v>
      </c>
      <c r="C13" s="41">
        <f>C9-(C12+C14)</f>
        <v>88215510.099999994</v>
      </c>
      <c r="D13" s="41">
        <f t="shared" ref="D13:G13" si="2">D9-(D12+D14)</f>
        <v>203619036.20499998</v>
      </c>
      <c r="E13" s="41">
        <f t="shared" si="2"/>
        <v>324792738.61524999</v>
      </c>
      <c r="F13" s="41">
        <f t="shared" si="2"/>
        <v>452025126.14601243</v>
      </c>
      <c r="G13" s="41">
        <f t="shared" si="2"/>
        <v>585619133.05331314</v>
      </c>
    </row>
    <row r="14" spans="1:7" x14ac:dyDescent="0.25">
      <c r="A14" s="55"/>
      <c r="B14" s="39"/>
      <c r="C14" s="39"/>
      <c r="D14" s="39"/>
      <c r="E14" s="39"/>
      <c r="F14" s="39"/>
      <c r="G14" s="39"/>
    </row>
    <row r="15" spans="1:7" x14ac:dyDescent="0.25">
      <c r="A15" s="22" t="s">
        <v>43</v>
      </c>
      <c r="B15" s="59"/>
      <c r="C15" s="60">
        <f>C12+C13+C14</f>
        <v>186872510.09999999</v>
      </c>
      <c r="D15" s="60">
        <f t="shared" ref="D15:G15" si="3">D12+D13+D14</f>
        <v>302276036.20499998</v>
      </c>
      <c r="E15" s="60">
        <f t="shared" si="3"/>
        <v>423449738.61524999</v>
      </c>
      <c r="F15" s="60">
        <f t="shared" si="3"/>
        <v>550682126.14601243</v>
      </c>
      <c r="G15" s="60">
        <f t="shared" si="3"/>
        <v>684276133.05331314</v>
      </c>
    </row>
    <row r="16" spans="1:7" x14ac:dyDescent="0.25">
      <c r="A16" s="11"/>
    </row>
    <row r="17" spans="1:7" x14ac:dyDescent="0.25">
      <c r="A17" s="11"/>
      <c r="C17" s="23"/>
      <c r="D17" s="23"/>
      <c r="E17" s="23"/>
      <c r="F17" s="23"/>
      <c r="G17" s="23"/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8793-480E-4116-BAF0-51A27767AB50}">
  <dimension ref="A4:G16"/>
  <sheetViews>
    <sheetView zoomScale="87" workbookViewId="0">
      <selection activeCell="E29" sqref="E29"/>
    </sheetView>
  </sheetViews>
  <sheetFormatPr defaultRowHeight="15" x14ac:dyDescent="0.25"/>
  <cols>
    <col min="1" max="1" width="26.42578125" customWidth="1"/>
    <col min="2" max="2" width="15.7109375" customWidth="1"/>
    <col min="3" max="3" width="14.140625" customWidth="1"/>
    <col min="4" max="4" width="12.7109375" customWidth="1"/>
    <col min="5" max="5" width="13.85546875" customWidth="1"/>
    <col min="6" max="6" width="11.28515625" customWidth="1"/>
    <col min="7" max="7" width="12.140625" customWidth="1"/>
  </cols>
  <sheetData>
    <row r="4" spans="1:7" x14ac:dyDescent="0.25">
      <c r="A4" s="25"/>
      <c r="B4" s="25" t="s">
        <v>5</v>
      </c>
      <c r="C4" s="25" t="s">
        <v>0</v>
      </c>
      <c r="D4" s="25" t="s">
        <v>1</v>
      </c>
      <c r="E4" s="25" t="s">
        <v>2</v>
      </c>
      <c r="F4" s="25" t="s">
        <v>3</v>
      </c>
      <c r="G4" s="25" t="s">
        <v>4</v>
      </c>
    </row>
    <row r="5" spans="1:7" x14ac:dyDescent="0.25">
      <c r="A5" s="24" t="s">
        <v>29</v>
      </c>
      <c r="B5" s="48"/>
      <c r="C5" s="48"/>
      <c r="D5" s="48"/>
      <c r="E5" s="48"/>
      <c r="F5" s="48"/>
      <c r="G5" s="48"/>
    </row>
    <row r="6" spans="1:7" x14ac:dyDescent="0.25">
      <c r="A6" s="24" t="s">
        <v>23</v>
      </c>
      <c r="B6" s="27"/>
      <c r="C6" s="27">
        <f>'Income statement'!C11</f>
        <v>110116200.59999999</v>
      </c>
      <c r="D6" s="27">
        <f>'Income statement'!D11</f>
        <v>115622010.63</v>
      </c>
      <c r="E6" s="27">
        <f>'Income statement'!E11</f>
        <v>121403111.16149999</v>
      </c>
      <c r="F6" s="27">
        <f>'Income statement'!F11</f>
        <v>127473266.719575</v>
      </c>
      <c r="G6" s="27">
        <f>'Income statement'!G11</f>
        <v>133846930.05555375</v>
      </c>
    </row>
    <row r="7" spans="1:7" x14ac:dyDescent="0.25">
      <c r="A7" s="24" t="s">
        <v>24</v>
      </c>
      <c r="B7" s="27"/>
      <c r="C7" s="27">
        <f>'Supporting schedule'!C5</f>
        <v>15293916.750000002</v>
      </c>
      <c r="D7" s="27">
        <f>'Supporting schedule'!D5</f>
        <v>16058612.587500002</v>
      </c>
      <c r="E7" s="27">
        <f>'Supporting schedule'!E5</f>
        <v>16861543.216875002</v>
      </c>
      <c r="F7" s="27">
        <f>'Supporting schedule'!F5</f>
        <v>17704620.377718754</v>
      </c>
      <c r="G7" s="27">
        <f>'Supporting schedule'!G5</f>
        <v>18589851.396604691</v>
      </c>
    </row>
    <row r="8" spans="1:7" x14ac:dyDescent="0.25">
      <c r="A8" s="24" t="s">
        <v>30</v>
      </c>
      <c r="B8" s="27"/>
      <c r="C8" s="27">
        <f>-'Supporting schedule'!C10</f>
        <v>-27774690.5</v>
      </c>
      <c r="D8" s="27">
        <f>-'Supporting schedule'!D10</f>
        <v>-218484.52500000037</v>
      </c>
      <c r="E8" s="27">
        <f>-'Supporting schedule'!E10</f>
        <v>-229408.75124999974</v>
      </c>
      <c r="F8" s="27">
        <f>-'Supporting schedule'!F10</f>
        <v>-240879.18881249987</v>
      </c>
      <c r="G8" s="27">
        <f>-'Supporting schedule'!G10</f>
        <v>-252923.14825312514</v>
      </c>
    </row>
    <row r="9" spans="1:7" x14ac:dyDescent="0.25">
      <c r="A9" s="25"/>
      <c r="B9" s="27"/>
      <c r="C9" s="27"/>
      <c r="D9" s="27"/>
      <c r="E9" s="27"/>
      <c r="F9" s="27"/>
      <c r="G9" s="27"/>
    </row>
    <row r="10" spans="1:7" x14ac:dyDescent="0.25">
      <c r="A10" s="24" t="s">
        <v>31</v>
      </c>
      <c r="B10" s="27"/>
      <c r="C10" s="27"/>
      <c r="D10" s="27"/>
      <c r="E10" s="27"/>
      <c r="F10" s="27"/>
      <c r="G10" s="27"/>
    </row>
    <row r="11" spans="1:7" x14ac:dyDescent="0.25">
      <c r="A11" s="24" t="s">
        <v>34</v>
      </c>
      <c r="B11" s="27"/>
      <c r="C11" s="27">
        <f>-'Supporting schedule'!C7</f>
        <v>-13109071.5</v>
      </c>
      <c r="D11" s="27">
        <f>-'Supporting schedule'!D7</f>
        <v>-13764525.074999999</v>
      </c>
      <c r="E11" s="27">
        <f>-'Supporting schedule'!E7</f>
        <v>-14452751.328749999</v>
      </c>
      <c r="F11" s="27">
        <f>-'Supporting schedule'!F7</f>
        <v>-15175388.895187501</v>
      </c>
      <c r="G11" s="27">
        <f>-'Supporting schedule'!G7</f>
        <v>-15934158.339946875</v>
      </c>
    </row>
    <row r="12" spans="1:7" x14ac:dyDescent="0.25">
      <c r="A12" s="24"/>
      <c r="B12" s="27"/>
      <c r="C12" s="27"/>
      <c r="D12" s="27"/>
      <c r="E12" s="27"/>
      <c r="F12" s="27"/>
      <c r="G12" s="27"/>
    </row>
    <row r="13" spans="1:7" x14ac:dyDescent="0.25">
      <c r="A13" s="24" t="s">
        <v>35</v>
      </c>
      <c r="B13" s="27"/>
      <c r="C13" s="27"/>
      <c r="D13" s="27"/>
      <c r="E13" s="27"/>
      <c r="F13" s="27"/>
      <c r="G13" s="27"/>
    </row>
    <row r="14" spans="1:7" x14ac:dyDescent="0.25">
      <c r="A14" s="24" t="s">
        <v>32</v>
      </c>
      <c r="B14" s="27"/>
      <c r="C14" s="27">
        <f>0</f>
        <v>0</v>
      </c>
      <c r="D14" s="27">
        <f>0</f>
        <v>0</v>
      </c>
      <c r="E14" s="27">
        <f>0</f>
        <v>0</v>
      </c>
      <c r="F14" s="27">
        <f>0</f>
        <v>0</v>
      </c>
      <c r="G14" s="27">
        <f>0</f>
        <v>0</v>
      </c>
    </row>
    <row r="15" spans="1:7" x14ac:dyDescent="0.25">
      <c r="A15" s="25"/>
      <c r="B15" s="27"/>
      <c r="C15" s="27"/>
      <c r="D15" s="27"/>
      <c r="E15" s="27"/>
      <c r="F15" s="27"/>
      <c r="G15" s="27"/>
    </row>
    <row r="16" spans="1:7" x14ac:dyDescent="0.25">
      <c r="A16" s="24" t="s">
        <v>33</v>
      </c>
      <c r="B16" s="27"/>
      <c r="C16" s="27">
        <f>SUM(C6:C8)+SUM(C11)+SUM(C14)</f>
        <v>84526355.349999994</v>
      </c>
      <c r="D16" s="27">
        <f t="shared" ref="D16:G16" si="0">SUM(D6:D8)+SUM(D11)+SUM(D14)</f>
        <v>117697613.61749999</v>
      </c>
      <c r="E16" s="27">
        <f t="shared" si="0"/>
        <v>123582494.298375</v>
      </c>
      <c r="F16" s="27">
        <f t="shared" si="0"/>
        <v>129761619.01329377</v>
      </c>
      <c r="G16" s="27">
        <f t="shared" si="0"/>
        <v>136249699.96395847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631C-C2BC-43F6-B45C-370702F35370}">
  <dimension ref="A4:G13"/>
  <sheetViews>
    <sheetView workbookViewId="0">
      <selection activeCell="G14" sqref="G14"/>
    </sheetView>
  </sheetViews>
  <sheetFormatPr defaultRowHeight="15" x14ac:dyDescent="0.25"/>
  <cols>
    <col min="1" max="1" width="26" customWidth="1"/>
    <col min="2" max="2" width="13" customWidth="1"/>
  </cols>
  <sheetData>
    <row r="4" spans="1:7" x14ac:dyDescent="0.25">
      <c r="A4" s="9"/>
      <c r="B4" s="9" t="s">
        <v>5</v>
      </c>
      <c r="C4" s="9" t="s">
        <v>0</v>
      </c>
      <c r="D4" s="9" t="s">
        <v>1</v>
      </c>
      <c r="E4" s="9" t="s">
        <v>2</v>
      </c>
      <c r="F4" s="9" t="s">
        <v>3</v>
      </c>
      <c r="G4" s="9" t="s">
        <v>4</v>
      </c>
    </row>
    <row r="5" spans="1:7" x14ac:dyDescent="0.25">
      <c r="A5" s="10" t="s">
        <v>24</v>
      </c>
      <c r="B5" s="17">
        <v>220960000</v>
      </c>
      <c r="C5" s="18">
        <f>'Income statement'!C5*Assumptions!C11</f>
        <v>15293916.750000002</v>
      </c>
      <c r="D5" s="18">
        <f>'Income statement'!D5*Assumptions!D11</f>
        <v>16058612.587500002</v>
      </c>
      <c r="E5" s="18">
        <f>'Income statement'!E5*Assumptions!E11</f>
        <v>16861543.216875002</v>
      </c>
      <c r="F5" s="18">
        <f>'Income statement'!F5*Assumptions!F11</f>
        <v>17704620.377718754</v>
      </c>
      <c r="G5" s="18">
        <f>'Income statement'!G5*Assumptions!G11</f>
        <v>18589851.396604691</v>
      </c>
    </row>
    <row r="6" spans="1:7" x14ac:dyDescent="0.25">
      <c r="A6" s="9"/>
      <c r="B6" s="45"/>
      <c r="C6" s="45"/>
      <c r="D6" s="45"/>
      <c r="E6" s="45"/>
      <c r="F6" s="45"/>
      <c r="G6" s="45"/>
    </row>
    <row r="7" spans="1:7" x14ac:dyDescent="0.25">
      <c r="A7" s="10" t="s">
        <v>25</v>
      </c>
      <c r="B7" s="45"/>
      <c r="C7" s="18">
        <f>'Income statement'!C5*Assumptions!C10</f>
        <v>13109071.5</v>
      </c>
      <c r="D7" s="18">
        <f>'Income statement'!D5*Assumptions!D10</f>
        <v>13764525.074999999</v>
      </c>
      <c r="E7" s="18">
        <f>'Income statement'!E5*Assumptions!E10</f>
        <v>14452751.328749999</v>
      </c>
      <c r="F7" s="18">
        <f>'Income statement'!F5*Assumptions!F10</f>
        <v>15175388.895187501</v>
      </c>
      <c r="G7" s="18">
        <f>'Income statement'!G5*Assumptions!G10</f>
        <v>15934158.339946875</v>
      </c>
    </row>
    <row r="8" spans="1:7" x14ac:dyDescent="0.25">
      <c r="A8" s="9"/>
      <c r="B8" s="45"/>
      <c r="C8" s="45"/>
      <c r="D8" s="45"/>
      <c r="E8" s="45"/>
      <c r="F8" s="45"/>
      <c r="G8" s="45"/>
    </row>
    <row r="9" spans="1:7" x14ac:dyDescent="0.25">
      <c r="A9" s="10" t="s">
        <v>26</v>
      </c>
      <c r="B9" s="18">
        <v>-23405000</v>
      </c>
      <c r="C9" s="18">
        <f>'Income statement'!C5*Assumptions!C12</f>
        <v>4369690.5</v>
      </c>
      <c r="D9" s="18">
        <f>'Income statement'!D5*Assumptions!D12</f>
        <v>4588175.0250000004</v>
      </c>
      <c r="E9" s="18">
        <f>'Income statement'!E5*Assumptions!E12</f>
        <v>4817583.7762500001</v>
      </c>
      <c r="F9" s="18">
        <f>'Income statement'!F5*Assumptions!F12</f>
        <v>5058462.9650625</v>
      </c>
      <c r="G9" s="18">
        <f>'Income statement'!G5*Assumptions!G12</f>
        <v>5311386.1133156251</v>
      </c>
    </row>
    <row r="10" spans="1:7" x14ac:dyDescent="0.25">
      <c r="A10" s="10" t="s">
        <v>27</v>
      </c>
      <c r="B10" s="45"/>
      <c r="C10" s="18">
        <f>C9-B9</f>
        <v>27774690.5</v>
      </c>
      <c r="D10" s="18">
        <f t="shared" ref="D10:G10" si="0">D9-C9</f>
        <v>218484.52500000037</v>
      </c>
      <c r="E10" s="18">
        <f t="shared" si="0"/>
        <v>229408.75124999974</v>
      </c>
      <c r="F10" s="18">
        <f t="shared" si="0"/>
        <v>240879.18881249987</v>
      </c>
      <c r="G10" s="18">
        <f t="shared" si="0"/>
        <v>252923.14825312514</v>
      </c>
    </row>
    <row r="13" spans="1:7" x14ac:dyDescent="0.25">
      <c r="C13" t="s">
        <v>28</v>
      </c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35015-4A93-499C-99FD-3B053AF129CC}">
  <dimension ref="A4:F24"/>
  <sheetViews>
    <sheetView workbookViewId="0">
      <selection activeCell="F18" sqref="F18"/>
    </sheetView>
  </sheetViews>
  <sheetFormatPr defaultRowHeight="15" x14ac:dyDescent="0.25"/>
  <cols>
    <col min="1" max="1" width="27.28515625" customWidth="1"/>
    <col min="2" max="2" width="13.28515625" customWidth="1"/>
    <col min="3" max="3" width="13" customWidth="1"/>
    <col min="4" max="4" width="15" customWidth="1"/>
    <col min="5" max="5" width="14.5703125" customWidth="1"/>
    <col min="6" max="6" width="15.5703125" customWidth="1"/>
  </cols>
  <sheetData>
    <row r="4" spans="1:6" x14ac:dyDescent="0.25">
      <c r="A4" s="30"/>
      <c r="B4" s="30" t="s">
        <v>0</v>
      </c>
      <c r="C4" s="30" t="s">
        <v>1</v>
      </c>
      <c r="D4" s="30" t="s">
        <v>2</v>
      </c>
      <c r="E4" s="30" t="s">
        <v>3</v>
      </c>
      <c r="F4" s="30" t="s">
        <v>4</v>
      </c>
    </row>
    <row r="5" spans="1:6" x14ac:dyDescent="0.25">
      <c r="A5" s="31" t="s">
        <v>21</v>
      </c>
      <c r="B5" s="27">
        <f>'Income statement'!C9</f>
        <v>131090715</v>
      </c>
      <c r="C5" s="27">
        <f>'Income statement'!D9</f>
        <v>137645250.75</v>
      </c>
      <c r="D5" s="27">
        <f>'Income statement'!E9</f>
        <v>144527513.28749999</v>
      </c>
      <c r="E5" s="27">
        <f>'Income statement'!F9</f>
        <v>151753888.951875</v>
      </c>
      <c r="F5" s="27">
        <f>'Income statement'!G9</f>
        <v>159341583.39946875</v>
      </c>
    </row>
    <row r="6" spans="1:6" x14ac:dyDescent="0.25">
      <c r="A6" s="31" t="s">
        <v>22</v>
      </c>
      <c r="B6" s="27">
        <f>B5*Assumptions!C9</f>
        <v>20974514.400000002</v>
      </c>
      <c r="C6" s="27">
        <f>C5*Assumptions!D9</f>
        <v>22023240.120000001</v>
      </c>
      <c r="D6" s="27">
        <f>D5*Assumptions!E9</f>
        <v>23124402.125999998</v>
      </c>
      <c r="E6" s="27">
        <f>E5*Assumptions!F9</f>
        <v>24280622.232300002</v>
      </c>
      <c r="F6" s="27">
        <f>F5*Assumptions!G9</f>
        <v>25494653.343915001</v>
      </c>
    </row>
    <row r="7" spans="1:6" x14ac:dyDescent="0.25">
      <c r="A7" s="31" t="s">
        <v>45</v>
      </c>
      <c r="B7" s="27">
        <f>B5-B6</f>
        <v>110116200.59999999</v>
      </c>
      <c r="C7" s="27">
        <f t="shared" ref="C7:F7" si="0">C5-C6</f>
        <v>115622010.63</v>
      </c>
      <c r="D7" s="27">
        <f t="shared" si="0"/>
        <v>121403111.16149999</v>
      </c>
      <c r="E7" s="27">
        <f t="shared" si="0"/>
        <v>127473266.719575</v>
      </c>
      <c r="F7" s="27">
        <f t="shared" si="0"/>
        <v>133846930.05555375</v>
      </c>
    </row>
    <row r="8" spans="1:6" x14ac:dyDescent="0.25">
      <c r="A8" s="31" t="s">
        <v>24</v>
      </c>
      <c r="B8" s="27">
        <f>'Supporting schedule'!C5</f>
        <v>15293916.750000002</v>
      </c>
      <c r="C8" s="27">
        <f>'Supporting schedule'!D5</f>
        <v>16058612.587500002</v>
      </c>
      <c r="D8" s="27">
        <f>'Supporting schedule'!E5</f>
        <v>16861543.216875002</v>
      </c>
      <c r="E8" s="27">
        <f>'Supporting schedule'!F5</f>
        <v>17704620.377718754</v>
      </c>
      <c r="F8" s="27">
        <f>'Supporting schedule'!G5</f>
        <v>18589851.396604691</v>
      </c>
    </row>
    <row r="9" spans="1:6" x14ac:dyDescent="0.25">
      <c r="A9" s="31" t="s">
        <v>46</v>
      </c>
      <c r="B9" s="27">
        <f>-'Supporting schedule'!C7</f>
        <v>-13109071.5</v>
      </c>
      <c r="C9" s="27">
        <f>-'Supporting schedule'!D7</f>
        <v>-13764525.074999999</v>
      </c>
      <c r="D9" s="27">
        <f>-'Supporting schedule'!E7</f>
        <v>-14452751.328749999</v>
      </c>
      <c r="E9" s="27">
        <f>-'Supporting schedule'!F7</f>
        <v>-15175388.895187501</v>
      </c>
      <c r="F9" s="27">
        <f>-'Supporting schedule'!G7</f>
        <v>-15934158.339946875</v>
      </c>
    </row>
    <row r="10" spans="1:6" x14ac:dyDescent="0.25">
      <c r="A10" s="31" t="s">
        <v>47</v>
      </c>
      <c r="B10" s="27">
        <f>-'Supporting schedule'!C10</f>
        <v>-27774690.5</v>
      </c>
      <c r="C10" s="27">
        <f>-'Supporting schedule'!D10</f>
        <v>-218484.52500000037</v>
      </c>
      <c r="D10" s="27">
        <f>-'Supporting schedule'!E10</f>
        <v>-229408.75124999974</v>
      </c>
      <c r="E10" s="27">
        <f>-'Supporting schedule'!F10</f>
        <v>-240879.18881249987</v>
      </c>
      <c r="F10" s="27">
        <f>-'Supporting schedule'!G10</f>
        <v>-252923.14825312514</v>
      </c>
    </row>
    <row r="11" spans="1:6" x14ac:dyDescent="0.25">
      <c r="A11" s="30"/>
      <c r="B11" s="27"/>
      <c r="C11" s="27"/>
      <c r="D11" s="27"/>
      <c r="E11" s="27"/>
      <c r="F11" s="27"/>
    </row>
    <row r="12" spans="1:6" x14ac:dyDescent="0.25">
      <c r="A12" s="31" t="s">
        <v>48</v>
      </c>
      <c r="B12" s="27">
        <f>B7+B8+B9+B10</f>
        <v>84526355.349999994</v>
      </c>
      <c r="C12" s="27">
        <f t="shared" ref="C12:F12" si="1">C7+C8+C9+C10</f>
        <v>117697613.61749999</v>
      </c>
      <c r="D12" s="27">
        <f t="shared" si="1"/>
        <v>123582494.298375</v>
      </c>
      <c r="E12" s="27">
        <f t="shared" si="1"/>
        <v>129761619.01329377</v>
      </c>
      <c r="F12" s="27">
        <f t="shared" si="1"/>
        <v>136249699.96395847</v>
      </c>
    </row>
    <row r="13" spans="1:6" x14ac:dyDescent="0.25">
      <c r="A13" s="30"/>
      <c r="B13" s="27"/>
      <c r="C13" s="27"/>
      <c r="D13" s="27"/>
      <c r="E13" s="27"/>
      <c r="F13" s="27"/>
    </row>
    <row r="14" spans="1:6" x14ac:dyDescent="0.25">
      <c r="A14" s="31" t="s">
        <v>49</v>
      </c>
      <c r="B14" s="27">
        <f>1/(1+Assumptions!C15)^1</f>
        <v>0.92592592592592582</v>
      </c>
      <c r="C14" s="27">
        <f>1/(1+Assumptions!D15)^2</f>
        <v>0.85733882030178321</v>
      </c>
      <c r="D14" s="27">
        <f>1/(1+Assumptions!E15)^3</f>
        <v>0.79383224102016958</v>
      </c>
      <c r="E14" s="27">
        <f>1/(1+Assumptions!F15)^4</f>
        <v>0.73502985279645328</v>
      </c>
      <c r="F14" s="27">
        <f>1/(1+Assumptions!G15)^5</f>
        <v>0.68058319703375303</v>
      </c>
    </row>
    <row r="15" spans="1:6" x14ac:dyDescent="0.25">
      <c r="A15" s="31" t="s">
        <v>50</v>
      </c>
      <c r="B15" s="27">
        <f xml:space="preserve"> B12*B14</f>
        <v>78265143.842592582</v>
      </c>
      <c r="C15" s="27">
        <f t="shared" ref="C15:F15" si="2" xml:space="preserve"> C12*C14</f>
        <v>100906733.21116254</v>
      </c>
      <c r="D15" s="27">
        <f t="shared" si="2"/>
        <v>98103768.399741352</v>
      </c>
      <c r="E15" s="27">
        <f t="shared" si="2"/>
        <v>95378663.721970782</v>
      </c>
      <c r="F15" s="27">
        <f t="shared" si="2"/>
        <v>92729256.396360487</v>
      </c>
    </row>
    <row r="16" spans="1:6" x14ac:dyDescent="0.25">
      <c r="A16" s="12"/>
      <c r="B16" s="12"/>
      <c r="C16" s="12"/>
      <c r="D16" s="12"/>
      <c r="E16" s="12"/>
      <c r="F16" s="12"/>
    </row>
    <row r="17" spans="1:6" x14ac:dyDescent="0.25">
      <c r="A17" s="31" t="s">
        <v>51</v>
      </c>
      <c r="B17" s="45"/>
      <c r="C17" s="45"/>
      <c r="D17" s="45"/>
      <c r="E17" s="45"/>
      <c r="F17" s="27">
        <f>F12 * (1 + Assumptions!C16) / (Assumptions!C15 - Assumptions!C16)</f>
        <v>2539198953.8737712</v>
      </c>
    </row>
    <row r="18" spans="1:6" x14ac:dyDescent="0.25">
      <c r="A18" s="31" t="s">
        <v>52</v>
      </c>
      <c r="B18" s="45"/>
      <c r="C18" s="45"/>
      <c r="D18" s="45"/>
      <c r="E18" s="45"/>
      <c r="F18" s="27">
        <f>F17*F14</f>
        <v>1728136141.9321723</v>
      </c>
    </row>
    <row r="19" spans="1:6" x14ac:dyDescent="0.25">
      <c r="A19" s="12"/>
      <c r="B19" s="32"/>
      <c r="C19" s="32"/>
      <c r="D19" s="32"/>
      <c r="E19" s="32"/>
      <c r="F19" s="32"/>
    </row>
    <row r="20" spans="1:6" x14ac:dyDescent="0.25">
      <c r="A20" s="31" t="s">
        <v>53</v>
      </c>
      <c r="B20" s="28">
        <f>SUM(B15:F15)+F18</f>
        <v>2193519707.5040002</v>
      </c>
      <c r="C20" s="43"/>
      <c r="D20" s="43"/>
      <c r="E20" s="43"/>
      <c r="F20" s="43"/>
    </row>
    <row r="21" spans="1:6" x14ac:dyDescent="0.25">
      <c r="A21" s="31" t="s">
        <v>54</v>
      </c>
      <c r="B21" s="29">
        <f>'Balance sheet '!B12 - 'Balance sheet '!B6</f>
        <v>43960000</v>
      </c>
      <c r="C21" s="44"/>
      <c r="D21" s="44"/>
      <c r="E21" s="44"/>
      <c r="F21" s="44"/>
    </row>
    <row r="22" spans="1:6" x14ac:dyDescent="0.25">
      <c r="A22" s="31" t="s">
        <v>55</v>
      </c>
      <c r="B22" s="29">
        <f>B20 - B21</f>
        <v>2149559707.5040002</v>
      </c>
      <c r="C22" s="44"/>
      <c r="D22" s="44"/>
      <c r="E22" s="44"/>
      <c r="F22" s="44"/>
    </row>
    <row r="23" spans="1:6" x14ac:dyDescent="0.25">
      <c r="A23" s="31" t="s">
        <v>56</v>
      </c>
      <c r="B23" s="29">
        <v>14773260</v>
      </c>
      <c r="C23" s="44"/>
      <c r="D23" s="44"/>
      <c r="E23" s="44"/>
      <c r="F23" s="44"/>
    </row>
    <row r="24" spans="1:6" x14ac:dyDescent="0.25">
      <c r="A24" s="31" t="s">
        <v>57</v>
      </c>
      <c r="B24" s="28">
        <f>B22/B23</f>
        <v>145.50341004653004</v>
      </c>
      <c r="C24" s="43"/>
      <c r="D24" s="43"/>
      <c r="E24" s="43"/>
      <c r="F24" s="43"/>
    </row>
  </sheetData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1495-3FF2-452D-9457-89D4203FE508}">
  <dimension ref="A4:F20"/>
  <sheetViews>
    <sheetView tabSelected="1" workbookViewId="0">
      <selection activeCell="D19" sqref="D19"/>
    </sheetView>
  </sheetViews>
  <sheetFormatPr defaultRowHeight="15" x14ac:dyDescent="0.25"/>
  <cols>
    <col min="1" max="1" width="18.140625" customWidth="1"/>
    <col min="2" max="2" width="20.42578125" customWidth="1"/>
    <col min="3" max="3" width="12.42578125" customWidth="1"/>
  </cols>
  <sheetData>
    <row r="4" spans="1:6" x14ac:dyDescent="0.25">
      <c r="A4" s="33"/>
      <c r="B4" s="26">
        <v>1.4999999999999999E-2</v>
      </c>
      <c r="C4" s="26">
        <v>0.02</v>
      </c>
      <c r="D4" s="26">
        <v>2.5000000000000001E-2</v>
      </c>
      <c r="E4" s="26">
        <v>0.03</v>
      </c>
      <c r="F4" s="26">
        <v>3.5000000000000003E-2</v>
      </c>
    </row>
    <row r="5" spans="1:6" x14ac:dyDescent="0.25">
      <c r="A5" s="26">
        <v>7.0000000000000007E-2</v>
      </c>
      <c r="B5" s="46" cm="1">
        <f t="array" ref="B5">_xlfn.LET(
  _xlpm.w, $A5,
  _xlpm.g, B$4,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150.78650440993152</v>
      </c>
      <c r="C5" s="46" cm="1">
        <f t="array" ref="C5">_xlfn.LET(
  _xlpm.w, $A5,
  _xlpm.g, C$4,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163.57918077808415</v>
      </c>
      <c r="D5" s="46" cm="1">
        <f t="array" ref="D5">_xlfn.LET(
  _xlpm.w, $A5,
  _xlpm.g, D$4,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179.21467411693732</v>
      </c>
      <c r="E5" s="46" cm="1">
        <f t="array" ref="E5">_xlfn.LET(
  _xlpm.w, $A5,
  _xlpm.g, E$4,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198.7590407905038</v>
      </c>
      <c r="F5" s="46" cm="1">
        <f t="array" ref="F5">_xlfn.LET(
  _xlpm.w, $A5,
  _xlpm.g, F$4,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223.88751222794639</v>
      </c>
    </row>
    <row r="6" spans="1:6" x14ac:dyDescent="0.25">
      <c r="A6" s="26">
        <v>7.4999999999999997E-2</v>
      </c>
      <c r="B6" s="46" cm="1">
        <f t="array" ref="B6">_xlfn.LET(
  _xlpm.w, $A6,
  _xlpm.g, B$4,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137.65132501875016</v>
      </c>
      <c r="C6" s="46" cm="1">
        <f t="array" ref="C6">_xlfn.LET(
  _xlpm.w, $A6,
  _xlpm.g, C$4,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148.1149320454839</v>
      </c>
      <c r="D6" s="46" cm="1">
        <f t="array" ref="D6">_xlfn.LET(
  _xlpm.w, $A6,
  _xlpm.g, D$4,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160.67126047756435</v>
      </c>
      <c r="E6" s="46" cm="1">
        <f t="array" ref="E6">_xlfn.LET(
  _xlpm.w, $A6,
  _xlpm.g, E$4,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176.01788411677381</v>
      </c>
      <c r="F6" s="46" cm="1">
        <f t="array" ref="F6">_xlfn.LET(
  _xlpm.w, $A6,
  _xlpm.g, F$4,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195.2011636657856</v>
      </c>
    </row>
    <row r="7" spans="1:6" x14ac:dyDescent="0.25">
      <c r="A7" s="26">
        <v>0.08</v>
      </c>
      <c r="B7" s="46" cm="1">
        <f t="array" ref="B7">_xlfn.LET(
  _xlpm.w, $A7,
  _xlpm.g, B$4,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126.5412352655819</v>
      </c>
      <c r="C7" s="46" cm="1">
        <f t="array" ref="C7">_xlfn.LET(
  _xlpm.w, $A7,
  _xlpm.g, C$4,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135.23223204018313</v>
      </c>
      <c r="D7" s="46" cm="1">
        <f t="array" ref="D7">_xlfn.LET(
  _xlpm.w, $A7,
  _xlpm.g, D$4,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145.50341004653004</v>
      </c>
      <c r="E7" s="46" cm="1">
        <f t="array" ref="E7">_xlfn.LET(
  _xlpm.w, $A7,
  _xlpm.g, E$4,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157.8288236541463</v>
      </c>
      <c r="F7" s="46" cm="1">
        <f t="array" ref="F7">_xlfn.LET(
  _xlpm.w, $A7,
  _xlpm.g, F$4,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172.89321806345509</v>
      </c>
    </row>
    <row r="8" spans="1:6" x14ac:dyDescent="0.25">
      <c r="A8" s="26">
        <v>8.5000000000000006E-2</v>
      </c>
      <c r="B8" s="46" cm="1">
        <f t="array" ref="B8">_xlfn.LET(
  _xlpm.w, $A8,
  _xlpm.g, B$4,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117.02220285554674</v>
      </c>
      <c r="C8" s="46" cm="1">
        <f t="array" ref="C8">_xlfn.LET(
  _xlpm.w, $A8,
  _xlpm.g, C$4,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124.33525833798609</v>
      </c>
      <c r="D8" s="46" cm="1">
        <f t="array" ref="D8">_xlfn.LET(
  _xlpm.w, $A8,
  _xlpm.g, D$4,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132.86715640083199</v>
      </c>
      <c r="E8" s="46" cm="1">
        <f t="array" ref="E8">_xlfn.LET(
  _xlpm.w, $A8,
  _xlpm.g, E$4,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142.9503086569226</v>
      </c>
      <c r="F8" s="46" cm="1">
        <f t="array" ref="F8">_xlfn.LET(
  _xlpm.w, $A8,
  _xlpm.g, F$4,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155.05009136423132</v>
      </c>
    </row>
    <row r="9" spans="1:6" x14ac:dyDescent="0.25">
      <c r="A9" s="26">
        <v>0.09</v>
      </c>
      <c r="B9" s="46" cm="1">
        <f t="array" ref="B9">_xlfn.LET(
  _xlpm.w, $A9,
  _xlpm.g, B$4,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108.77593958434542</v>
      </c>
      <c r="C9" s="46" cm="1">
        <f t="array" ref="C9">_xlfn.LET(
  _xlpm.w, $A9,
  _xlpm.g, C$4,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114.99842550401749</v>
      </c>
      <c r="D9" s="46" cm="1">
        <f t="array" ref="D9">_xlfn.LET(
  _xlpm.w, $A9,
  _xlpm.g, D$4,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122.17821694979291</v>
      </c>
      <c r="E9" s="46" cm="1">
        <f t="array" ref="E9">_xlfn.LET(
  _xlpm.w, $A9,
  _xlpm.g, E$4,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130.5546403031976</v>
      </c>
      <c r="F9" s="46" cm="1">
        <f t="array" ref="F9">_xlfn.LET(
  _xlpm.w, $A9,
  _xlpm.g, F$4,
  _xlpm.fcf, DCF!$B$12:$F$12,
  _xlpm.yrs, {1,2,3,4,5},
  _xlpm.df, 1/(1+_xlpm.w)^_xlpm.yrs,
  _xlpm.pv_fcf, SUM(_xlpm.fcf*_xlpm.df),
  _xlpm.tv, INDEX(_xlpm.fcf,1,5)*(1+_xlpm.g)/(_xlpm.w-_xlpm.g),
  _xlpm.pv_tv, _xlpm.tv/(1+_xlpm.w)^5,
  _xlpm.ev, _xlpm.pv_fcf+_xlpm.pv_tv,
  _xlpm.netdebt, DCF!$B$21,
  _xlpm.shares, DCF!$B$23,
  (_xlpm.ev-_xlpm.netdebt)/_xlpm.shares
)</f>
        <v>140.45404972085765</v>
      </c>
    </row>
    <row r="13" spans="1:6" x14ac:dyDescent="0.25">
      <c r="A13" s="61" t="s">
        <v>61</v>
      </c>
      <c r="B13" s="47"/>
    </row>
    <row r="14" spans="1:6" x14ac:dyDescent="0.25">
      <c r="A14" s="62" t="s">
        <v>58</v>
      </c>
      <c r="B14" s="47">
        <f>B6</f>
        <v>137.65132501875016</v>
      </c>
    </row>
    <row r="15" spans="1:6" x14ac:dyDescent="0.25">
      <c r="A15" s="62" t="s">
        <v>59</v>
      </c>
      <c r="B15" s="47">
        <f>B7</f>
        <v>126.5412352655819</v>
      </c>
    </row>
    <row r="16" spans="1:6" x14ac:dyDescent="0.25">
      <c r="A16" s="62" t="s">
        <v>60</v>
      </c>
      <c r="B16" s="47">
        <f>B8</f>
        <v>117.02220285554674</v>
      </c>
    </row>
    <row r="20" spans="2:2" x14ac:dyDescent="0.25">
      <c r="B20" t="s">
        <v>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Income statement</vt:lpstr>
      <vt:lpstr>Balance sheet </vt:lpstr>
      <vt:lpstr>Cash flow</vt:lpstr>
      <vt:lpstr>Supporting schedule</vt:lpstr>
      <vt:lpstr>DCF</vt:lpstr>
      <vt:lpstr>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sarkar</dc:creator>
  <cp:lastModifiedBy>sumit sarkar</cp:lastModifiedBy>
  <dcterms:created xsi:type="dcterms:W3CDTF">2026-01-20T11:41:32Z</dcterms:created>
  <dcterms:modified xsi:type="dcterms:W3CDTF">2026-02-05T21:41:33Z</dcterms:modified>
</cp:coreProperties>
</file>